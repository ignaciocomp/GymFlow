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bas\Documents\00_materias\proyecto_integrador\dev\GymFlow\docs\seguimiento\"/>
    </mc:Choice>
  </mc:AlternateContent>
  <xr:revisionPtr revIDLastSave="0" documentId="13_ncr:1_{4C2C135C-3922-461A-8B77-95C0D622866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e" sheetId="2" r:id="rId1"/>
    <sheet name="Iteracion 1" sheetId="3" r:id="rId2"/>
    <sheet name="Iteracion 2" sheetId="4" r:id="rId3"/>
    <sheet name="Iteracion 3" sheetId="5" r:id="rId4"/>
    <sheet name="Iteracion 4" sheetId="6" r:id="rId5"/>
    <sheet name="Iteracion 5" sheetId="7" r:id="rId6"/>
    <sheet name="Hoja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7" l="1"/>
  <c r="E42" i="7"/>
  <c r="E41" i="7"/>
  <c r="E40" i="7"/>
  <c r="E52" i="7" s="1"/>
  <c r="B22" i="5"/>
  <c r="D14" i="5"/>
  <c r="D24" i="5" s="1"/>
  <c r="B30" i="4"/>
  <c r="D32" i="4" s="1"/>
  <c r="B22" i="3"/>
  <c r="D14" i="3"/>
  <c r="D24" i="3" s="1"/>
  <c r="C33" i="2"/>
  <c r="E25" i="2"/>
  <c r="E24" i="2"/>
  <c r="E23" i="2"/>
  <c r="E35" i="2" s="1"/>
  <c r="E27" i="6"/>
  <c r="K26" i="6"/>
  <c r="E26" i="6"/>
  <c r="E25" i="6"/>
  <c r="E37" i="6" l="1"/>
</calcChain>
</file>

<file path=xl/sharedStrings.xml><?xml version="1.0" encoding="utf-8"?>
<sst xmlns="http://schemas.openxmlformats.org/spreadsheetml/2006/main" count="525" uniqueCount="301">
  <si>
    <t>Registro de Tiempos - Iteracion 4</t>
  </si>
  <si>
    <t>DESARROLLO</t>
  </si>
  <si>
    <t>Hash</t>
  </si>
  <si>
    <t>Autor</t>
  </si>
  <si>
    <t>Fecha</t>
  </si>
  <si>
    <t>Descripcion</t>
  </si>
  <si>
    <t>Tiempo (hs)</t>
  </si>
  <si>
    <t>Observaciones</t>
  </si>
  <si>
    <t>37e70b5</t>
  </si>
  <si>
    <t>Sebastian</t>
  </si>
  <si>
    <t>2026-05-31</t>
  </si>
  <si>
    <t>Documentacion completa en Obsidian</t>
  </si>
  <si>
    <t>0c545ed</t>
  </si>
  <si>
    <t>Ignacio</t>
  </si>
  <si>
    <t>2026-06-04</t>
  </si>
  <si>
    <t>Docs: spec y plan IT4 (inscripciones/empleados)</t>
  </si>
  <si>
    <t>0818dab</t>
  </si>
  <si>
    <t>Inscripcion con cuota, lista espera y email</t>
  </si>
  <si>
    <t>b4dba9f</t>
  </si>
  <si>
    <t>Cancelar inscripcion con auditoria</t>
  </si>
  <si>
    <t>729482c</t>
  </si>
  <si>
    <t>Credenciales temporales + email crear empleado</t>
  </si>
  <si>
    <t>2228f43</t>
  </si>
  <si>
    <t>Catalogo de clases con filtros en portal</t>
  </si>
  <si>
    <t>15edf9e</t>
  </si>
  <si>
    <t>Horarios con filtro sede + split solapados</t>
  </si>
  <si>
    <t>2461446</t>
  </si>
  <si>
    <t>Fix N+1 en GetMisInscripcionesQuery</t>
  </si>
  <si>
    <t>84a6e50</t>
  </si>
  <si>
    <t>Preparacion MFA y OAuth para IT5</t>
  </si>
  <si>
    <t>d1fe117</t>
  </si>
  <si>
    <t>2026-06-05</t>
  </si>
  <si>
    <t>Mejoras IT4 clases y horarios</t>
  </si>
  <si>
    <t>2cf36f6</t>
  </si>
  <si>
    <t>2026-06-06</t>
  </si>
  <si>
    <t>Correcciones con tests Postman + doc IT4</t>
  </si>
  <si>
    <t>d0e59cc</t>
  </si>
  <si>
    <t>2026-06-07</t>
  </si>
  <si>
    <t>CI: workflow auto-deploy Azure Container Apps</t>
  </si>
  <si>
    <t>fdeb3a0</t>
  </si>
  <si>
    <t>Docs: setup pipeline deploy Azure</t>
  </si>
  <si>
    <t>04b3019</t>
  </si>
  <si>
    <t>2026-06-09</t>
  </si>
  <si>
    <t>CI: rollback automatico en deploy fallido</t>
  </si>
  <si>
    <t>a4dbc6b</t>
  </si>
  <si>
    <t>Fix: re-agregar validacion cuota al inscribir</t>
  </si>
  <si>
    <t>1109ea8</t>
  </si>
  <si>
    <t>Perf: eliminar N+1 en GetClasesQuery</t>
  </si>
  <si>
    <t>3fffb25</t>
  </si>
  <si>
    <t>Merge PR #21: CI/CD deploy Azure</t>
  </si>
  <si>
    <t>aea2968</t>
  </si>
  <si>
    <t>2026-06-12</t>
  </si>
  <si>
    <t>Docs: spec y plan login Google (IT5)</t>
  </si>
  <si>
    <t>Actividad</t>
  </si>
  <si>
    <t>Responsable</t>
  </si>
  <si>
    <t>94322c5</t>
  </si>
  <si>
    <t>Login con Google: comando, endpoint y boton UI</t>
  </si>
  <si>
    <t>Plan de testing</t>
  </si>
  <si>
    <t>d79fb7c</t>
  </si>
  <si>
    <t>Email confirmacion al marcar cuota pagada</t>
  </si>
  <si>
    <t>Ejecucion plan de testing</t>
  </si>
  <si>
    <t>Subtotal Desarrollo</t>
  </si>
  <si>
    <t>Documentacion</t>
  </si>
  <si>
    <t xml:space="preserve">  Desarrollo - Ignacio</t>
  </si>
  <si>
    <t>Subtotal Otras Actividades</t>
  </si>
  <si>
    <t xml:space="preserve">  Desarrollo - Sebastian</t>
  </si>
  <si>
    <t>OTRAS ACTIVIDADES</t>
  </si>
  <si>
    <t>TOTAL HORAS - Iteracion 4</t>
  </si>
  <si>
    <t>Registro de Tiempos - Pre</t>
  </si>
  <si>
    <t>20d79ab</t>
  </si>
  <si>
    <t>2026-03-25</t>
  </si>
  <si>
    <t>CI: pipeline GitHub Actions backend y frontend</t>
  </si>
  <si>
    <t>d929e77</t>
  </si>
  <si>
    <t>Docs: spec, plan de implementacion y README</t>
  </si>
  <si>
    <t>2820d83</t>
  </si>
  <si>
    <t>API: controllers, auth, DI y CORS</t>
  </si>
  <si>
    <t>6d515d4</t>
  </si>
  <si>
    <t>Application layer: DTOs, interfaces, use cases</t>
  </si>
  <si>
    <t>a0dc368</t>
  </si>
  <si>
    <t>Docker setup con PostgreSQL y auto-migracion</t>
  </si>
  <si>
    <t>fd1c1f9</t>
  </si>
  <si>
    <t>Infrastructure: EF Core, repos y configs</t>
  </si>
  <si>
    <t>5fc2abb</t>
  </si>
  <si>
    <t>Crear solucion .NET y proyecto Domain</t>
  </si>
  <si>
    <t>49b5173</t>
  </si>
  <si>
    <t>RF-01/02/04: registro, listado y baja de socio</t>
  </si>
  <si>
    <t>6448ada</t>
  </si>
  <si>
    <t>Frontend: React, TypeScript, Vite, Tailwind</t>
  </si>
  <si>
    <t>eeec743</t>
  </si>
  <si>
    <t>Tests unitarios de Domain y Application</t>
  </si>
  <si>
    <t>41a666b</t>
  </si>
  <si>
    <t>2026-03-28</t>
  </si>
  <si>
    <t>TipoDocumento en Socio + validacion cedula UY</t>
  </si>
  <si>
    <t>02cd91d</t>
  </si>
  <si>
    <t>Docs: spec y plan mejoras RF-01</t>
  </si>
  <si>
    <t>8e14117</t>
  </si>
  <si>
    <t>2026-04-05</t>
  </si>
  <si>
    <t>Frontend TipoDocumento en formularios de socio</t>
  </si>
  <si>
    <t>Fix validacion cedula unica + mejoras UI</t>
  </si>
  <si>
    <t>959d9d0</t>
  </si>
  <si>
    <t>2026-04-06</t>
  </si>
  <si>
    <t>RF-22: planes por unidad (CRUD + frontend)</t>
  </si>
  <si>
    <t>b2e5ce1</t>
  </si>
  <si>
    <t>Auditoria: entidad, logger, controller y frontend</t>
  </si>
  <si>
    <t>887ce2f</t>
  </si>
  <si>
    <t>Mover PlanId a UsuarioUnidad + tests</t>
  </si>
  <si>
    <t>a36f79c</t>
  </si>
  <si>
    <t>Docs: spec diseno RF-22 planes por unidad</t>
  </si>
  <si>
    <t>TOTAL HORAS - Pre</t>
  </si>
  <si>
    <t>Registro de Tiempos - Iteracion 1</t>
  </si>
  <si>
    <t>b6daf11</t>
  </si>
  <si>
    <t>2026-04-26</t>
  </si>
  <si>
    <t>Hotfix: correcciones menores en vista Planes</t>
  </si>
  <si>
    <t>e9b022d</t>
  </si>
  <si>
    <t>Correcciones endpoints + middleware errores</t>
  </si>
  <si>
    <t>ae760f6</t>
  </si>
  <si>
    <t>Sistema de permisos y roles por modulo</t>
  </si>
  <si>
    <t>84117bf</t>
  </si>
  <si>
    <t>2026-04-29</t>
  </si>
  <si>
    <t>Docs: reclasificar RF-23 a RNF-01</t>
  </si>
  <si>
    <t>5965f4b</t>
  </si>
  <si>
    <t>Feat: DTOs y repo para gestion empleados</t>
  </si>
  <si>
    <t>5c790a2</t>
  </si>
  <si>
    <t>Feat: IPasswordHasher con BCrypt</t>
  </si>
  <si>
    <t>a59fb94</t>
  </si>
  <si>
    <t>Feat: entidad Empleado + modulo permisos</t>
  </si>
  <si>
    <t>b3cf9cd</t>
  </si>
  <si>
    <t>Refactor: PasswordHash nullable, limpiar OAuth</t>
  </si>
  <si>
    <t>7570f16</t>
  </si>
  <si>
    <t>Test: tests de Empleado.CambiarRol</t>
  </si>
  <si>
    <t>TOTAL HORAS - Iteracion 1</t>
  </si>
  <si>
    <t>Registro de Tiempos - Iteracion 2</t>
  </si>
  <si>
    <t>ce433d7</t>
  </si>
  <si>
    <t>2026-04-30</t>
  </si>
  <si>
    <t>Correcciones varias</t>
  </si>
  <si>
    <t>3383779</t>
  </si>
  <si>
    <t>2026-05-02</t>
  </si>
  <si>
    <t>Update nombre tutor en README</t>
  </si>
  <si>
    <t>5512577</t>
  </si>
  <si>
    <t>2026-05-03</t>
  </si>
  <si>
    <t>RF-05: portal del socio con perfil</t>
  </si>
  <si>
    <t>18f6f5b</t>
  </si>
  <si>
    <t>Gestion de usuarios desarrollo completo</t>
  </si>
  <si>
    <t>a8b5018</t>
  </si>
  <si>
    <t>Tests automatizados creados y aprobados</t>
  </si>
  <si>
    <t>b687e09</t>
  </si>
  <si>
    <t>2026-05-04</t>
  </si>
  <si>
    <t>Fix: error CS0854 en tests + login socios</t>
  </si>
  <si>
    <t>a9a9cd2</t>
  </si>
  <si>
    <t>Merge PR #3: feature/RF_05</t>
  </si>
  <si>
    <t>2026-05-05</t>
  </si>
  <si>
    <t>Merge PR #4: fix RNF02/RF05</t>
  </si>
  <si>
    <t>509cbdb</t>
  </si>
  <si>
    <t>Ajustes RF-05 y RNF-01</t>
  </si>
  <si>
    <t>bb996ca</t>
  </si>
  <si>
    <t>2026-05-10</t>
  </si>
  <si>
    <t>Desarrollo completo RF-07 (cuotas)</t>
  </si>
  <si>
    <t>b751229</t>
  </si>
  <si>
    <t>2026-05-11</t>
  </si>
  <si>
    <t>RF-06: recordatorios + UX cuotas + responsive</t>
  </si>
  <si>
    <t>a295819</t>
  </si>
  <si>
    <t>Correcciones segun review de RF-07</t>
  </si>
  <si>
    <t>545b483</t>
  </si>
  <si>
    <t>2026-05-12</t>
  </si>
  <si>
    <t>Fix: 3 bloqueantes review (N+1, XSS, SMTP)</t>
  </si>
  <si>
    <t>4c0651c</t>
  </si>
  <si>
    <t>2026-05-14</t>
  </si>
  <si>
    <t>Mejoras en controllers iteracion 2</t>
  </si>
  <si>
    <t xml:space="preserve">  Desarrollo - Franco</t>
  </si>
  <si>
    <t>TOTAL HORAS - Iteracion 2</t>
  </si>
  <si>
    <t>Registro de Tiempos - Iteracion 3</t>
  </si>
  <si>
    <t>5ee5821</t>
  </si>
  <si>
    <t>2026-05-19</t>
  </si>
  <si>
    <t>Merge PRs RF-08/RF-09 + mejoras reqs</t>
  </si>
  <si>
    <t>da840e3</t>
  </si>
  <si>
    <t>2026-05-20</t>
  </si>
  <si>
    <t>RF-08: gestionar clases (CRUD completo)</t>
  </si>
  <si>
    <t>51b00f6</t>
  </si>
  <si>
    <t>RF-09: gestionar horarios semanales</t>
  </si>
  <si>
    <t>d1adf86</t>
  </si>
  <si>
    <t>Fix: bloqueantes code review RF-08</t>
  </si>
  <si>
    <t>ce9a839</t>
  </si>
  <si>
    <t>2026-05-25</t>
  </si>
  <si>
    <t>Merge PR #11: deploy</t>
  </si>
  <si>
    <t>2eb3780</t>
  </si>
  <si>
    <t>Cambios repo para deploy</t>
  </si>
  <si>
    <t>fa20843</t>
  </si>
  <si>
    <t>2026-05-26</t>
  </si>
  <si>
    <t>Eliminar usuarios de vista login</t>
  </si>
  <si>
    <t>8be55e0</t>
  </si>
  <si>
    <t>2026-05-27</t>
  </si>
  <si>
    <t>Correcciones modulo clases e inscripcion</t>
  </si>
  <si>
    <t>1bb7b47</t>
  </si>
  <si>
    <t>2026-05-28</t>
  </si>
  <si>
    <t>Merge PR #14 + trigger CI workflow</t>
  </si>
  <si>
    <t>TOTAL HORAS - Iteracion 3</t>
  </si>
  <si>
    <t>Registro de Tiempos - Iteracion 5</t>
  </si>
  <si>
    <t>5a90c3d</t>
  </si>
  <si>
    <t>2026-06-15</t>
  </si>
  <si>
    <t>Merge PR #30: login Google + docs IT5</t>
  </si>
  <si>
    <t>1e26202</t>
  </si>
  <si>
    <t>2026-06-16</t>
  </si>
  <si>
    <t>Docs: spec y plan MFA TOTP para empleados</t>
  </si>
  <si>
    <t>09e4ab7</t>
  </si>
  <si>
    <t>MFA: setup, activar, verificar y recuperacion</t>
  </si>
  <si>
    <t>e6a868e</t>
  </si>
  <si>
    <t>MFA: AES-256-GCM + token firmado dedicado</t>
  </si>
  <si>
    <t>b9c6579</t>
  </si>
  <si>
    <t>MFA: UI enrolment, verificacion y reset</t>
  </si>
  <si>
    <t>9595898</t>
  </si>
  <si>
    <t>MFA: login dos pasos + endpoints + reset API</t>
  </si>
  <si>
    <t>5b2589f</t>
  </si>
  <si>
    <t>MFA: persistencia (repo, EF config, migracion)</t>
  </si>
  <si>
    <t>36a233d</t>
  </si>
  <si>
    <t>Fix CI: build imagen en runner local</t>
  </si>
  <si>
    <t>c0020d1</t>
  </si>
  <si>
    <t>Docs: spec email confirmacion de pago + SMTP</t>
  </si>
  <si>
    <t>a900a45</t>
  </si>
  <si>
    <t>Docs deploy: activacion MFA y reset de emergencia</t>
  </si>
  <si>
    <t>472471a</t>
  </si>
  <si>
    <t>2026-06-17</t>
  </si>
  <si>
    <t>Docs: spec y plan rol Dueno</t>
  </si>
  <si>
    <t>674c214</t>
  </si>
  <si>
    <t>Dueno: seed rol + resolver unidades visibles</t>
  </si>
  <si>
    <t>6d921bb</t>
  </si>
  <si>
    <t>Dueno: login devuelve unidadIds</t>
  </si>
  <si>
    <t>fb8a95d</t>
  </si>
  <si>
    <t>Docs: spec y plan gestion eventos (RF-15)</t>
  </si>
  <si>
    <t>cfdb247</t>
  </si>
  <si>
    <t>Eventos: CRUD + notificacion email + portal</t>
  </si>
  <si>
    <t>64026d5</t>
  </si>
  <si>
    <t>Docs: spec y plan centro notificaciones (RF-16)</t>
  </si>
  <si>
    <t>a9458f5</t>
  </si>
  <si>
    <t>Cambios en la documentacion</t>
  </si>
  <si>
    <t>443d13f</t>
  </si>
  <si>
    <t>2026-06-18</t>
  </si>
  <si>
    <t>Dueno: UI unidades, selector sede, filtro repos</t>
  </si>
  <si>
    <t>36bb3e1</t>
  </si>
  <si>
    <t>Dueno: controllers y queries filtran por unidad</t>
  </si>
  <si>
    <t>2d6c38f</t>
  </si>
  <si>
    <t>Notificaciones: entidad, repo, endpoints, UI</t>
  </si>
  <si>
    <t>a1d39fe</t>
  </si>
  <si>
    <t>Notificaciones: enganche en cuotas/clases/eventos</t>
  </si>
  <si>
    <t>56dcf7e</t>
  </si>
  <si>
    <t>Fix: cerrar fuga cross-unidad en cuotas</t>
  </si>
  <si>
    <t>4b0c8e1</t>
  </si>
  <si>
    <t>CI: workflow manual configure-mfa (claves MFA)</t>
  </si>
  <si>
    <t>8cb4dd4</t>
  </si>
  <si>
    <t>Dueno: permisos de Eventos + filtro unidad en eventos</t>
  </si>
  <si>
    <t>eeef7d6</t>
  </si>
  <si>
    <t>Cuotas: endpoints manuales para disparar jobs</t>
  </si>
  <si>
    <t>85b1689</t>
  </si>
  <si>
    <t>RF-19: sitio web publico (5 paginas + SEO)</t>
  </si>
  <si>
    <t>8b75f95</t>
  </si>
  <si>
    <t>2026-06-19</t>
  </si>
  <si>
    <t>Actualizacion de la documentacion iteracion 5</t>
  </si>
  <si>
    <t>c7661df</t>
  </si>
  <si>
    <t>2026-06-20</t>
  </si>
  <si>
    <t>Fix horarios: filtrar planes por sede/espacio</t>
  </si>
  <si>
    <t>ad41a09</t>
  </si>
  <si>
    <t>Eventos: mostrar destinatarios del correo</t>
  </si>
  <si>
    <t>84d3526</t>
  </si>
  <si>
    <t>UI: formato prolijo de fechas y horas</t>
  </si>
  <si>
    <t>64397a2</t>
  </si>
  <si>
    <t>Docs: inventario pruebas automatizadas it1-4</t>
  </si>
  <si>
    <t>44621f7</t>
  </si>
  <si>
    <t>2026-06-22</t>
  </si>
  <si>
    <t>Casos de uso documentados</t>
  </si>
  <si>
    <t>66fb4b3</t>
  </si>
  <si>
    <t>2026-06-23</t>
  </si>
  <si>
    <t>Mejoras documentacion casos de uso</t>
  </si>
  <si>
    <t>f92366e</t>
  </si>
  <si>
    <t>Avances de documentacion</t>
  </si>
  <si>
    <t>dd49bfb</t>
  </si>
  <si>
    <t>2026-06-24</t>
  </si>
  <si>
    <t>Test API finalizado y documentado</t>
  </si>
  <si>
    <t>TOTAL HORAS - Iteracion 5</t>
  </si>
  <si>
    <t>Componente</t>
  </si>
  <si>
    <t>Decisión</t>
  </si>
  <si>
    <t>Por qué</t>
  </si>
  <si>
    <t>Empaquetado</t>
  </si>
  <si>
    <t>Single container (front + back en una imagen)</t>
  </si>
  <si>
    <t>Sin CORS, deploy atómico, una sola URL</t>
  </si>
  <si>
    <t>Hosting</t>
  </si>
  <si>
    <t>Azure Container Apps, minReplicas=0, maxReplicas=1</t>
  </si>
  <si>
    <t>Scale-to-zero: solo paga cuando hay tráfico (~$0.50/mes)</t>
  </si>
  <si>
    <t>Base de datos</t>
  </si>
  <si>
    <t>Azure Database for PostgreSQL Flexible Server (B1ms, 32 GB)</t>
  </si>
  <si>
    <t>Datos persistentes, ~$13/mes</t>
  </si>
  <si>
    <t>Registry</t>
  </si>
  <si>
    <t>Azure Container Registry (Basic)</t>
  </si>
  <si>
    <t>Imágenes privadas, ~$5/mes</t>
  </si>
  <si>
    <t>Suscripción</t>
  </si>
  <si>
    <t>Azure for Students ($100/año, sin tarjeta)</t>
  </si>
  <si>
    <t>Crédito alcanza ~5-6 meses</t>
  </si>
  <si>
    <t>Región</t>
  </si>
  <si>
    <t>East US</t>
  </si>
  <si>
    <t>Catálogo completo, latencia ~130 ms desde UY</t>
  </si>
  <si>
    <t>Secrets</t>
  </si>
  <si>
    <t>Container Apps Secrets (no Key Vault)</t>
  </si>
  <si>
    <t>Suficiente para el TFG, menos 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</si>
</sst>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0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b/>
      <sz val="12"/>
      <color rgb="FF2F5496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i/>
      <sz val="10"/>
      <name val="Arial"/>
    </font>
    <font>
      <b/>
      <sz val="13"/>
      <color rgb="FFFFFFFF"/>
      <name val="Arial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4" fillId="0" borderId="1" xfId="0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8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sqref="A1:F1"/>
    </sheetView>
  </sheetViews>
  <sheetFormatPr baseColWidth="10" defaultColWidth="8.88671875" defaultRowHeight="14.4" x14ac:dyDescent="0.3"/>
  <cols>
    <col min="1" max="1" width="11" customWidth="1"/>
    <col min="2" max="3" width="14" customWidth="1"/>
    <col min="4" max="4" width="55" customWidth="1"/>
    <col min="5" max="5" width="14" customWidth="1"/>
    <col min="6" max="6" width="25" customWidth="1"/>
  </cols>
  <sheetData>
    <row r="1" spans="1:6" ht="17.399999999999999" customHeight="1" x14ac:dyDescent="0.3">
      <c r="A1" s="19" t="s">
        <v>68</v>
      </c>
      <c r="B1" s="20"/>
      <c r="C1" s="20"/>
      <c r="D1" s="20"/>
      <c r="E1" s="20"/>
      <c r="F1" s="20"/>
    </row>
    <row r="3" spans="1:6" ht="15.6" customHeight="1" x14ac:dyDescent="0.3">
      <c r="A3" s="3" t="s">
        <v>1</v>
      </c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13" t="s">
        <v>69</v>
      </c>
      <c r="B5" s="4" t="s">
        <v>13</v>
      </c>
      <c r="C5" s="5" t="s">
        <v>70</v>
      </c>
      <c r="D5" s="6" t="s">
        <v>71</v>
      </c>
      <c r="E5" s="14">
        <v>0.75</v>
      </c>
      <c r="F5" s="4"/>
    </row>
    <row r="6" spans="1:6" x14ac:dyDescent="0.3">
      <c r="A6" s="13" t="s">
        <v>72</v>
      </c>
      <c r="B6" s="4" t="s">
        <v>13</v>
      </c>
      <c r="C6" s="5" t="s">
        <v>70</v>
      </c>
      <c r="D6" s="6" t="s">
        <v>73</v>
      </c>
      <c r="E6" s="14">
        <v>2</v>
      </c>
      <c r="F6" s="4"/>
    </row>
    <row r="7" spans="1:6" x14ac:dyDescent="0.3">
      <c r="A7" s="13" t="s">
        <v>74</v>
      </c>
      <c r="B7" s="4" t="s">
        <v>13</v>
      </c>
      <c r="C7" s="5" t="s">
        <v>70</v>
      </c>
      <c r="D7" s="6" t="s">
        <v>75</v>
      </c>
      <c r="E7" s="14">
        <v>1.5</v>
      </c>
      <c r="F7" s="4"/>
    </row>
    <row r="8" spans="1:6" x14ac:dyDescent="0.3">
      <c r="A8" s="13" t="s">
        <v>76</v>
      </c>
      <c r="B8" s="4" t="s">
        <v>13</v>
      </c>
      <c r="C8" s="5" t="s">
        <v>70</v>
      </c>
      <c r="D8" s="6" t="s">
        <v>77</v>
      </c>
      <c r="E8" s="14">
        <v>1.5</v>
      </c>
      <c r="F8" s="4"/>
    </row>
    <row r="9" spans="1:6" x14ac:dyDescent="0.3">
      <c r="A9" s="13" t="s">
        <v>78</v>
      </c>
      <c r="B9" s="4" t="s">
        <v>13</v>
      </c>
      <c r="C9" s="5" t="s">
        <v>70</v>
      </c>
      <c r="D9" s="6" t="s">
        <v>79</v>
      </c>
      <c r="E9" s="14">
        <v>1.5</v>
      </c>
      <c r="F9" s="4"/>
    </row>
    <row r="10" spans="1:6" x14ac:dyDescent="0.3">
      <c r="A10" s="13" t="s">
        <v>80</v>
      </c>
      <c r="B10" s="4" t="s">
        <v>13</v>
      </c>
      <c r="C10" s="5" t="s">
        <v>70</v>
      </c>
      <c r="D10" s="6" t="s">
        <v>81</v>
      </c>
      <c r="E10" s="14">
        <v>1.5</v>
      </c>
      <c r="F10" s="4"/>
    </row>
    <row r="11" spans="1:6" x14ac:dyDescent="0.3">
      <c r="A11" s="13" t="s">
        <v>82</v>
      </c>
      <c r="B11" s="4" t="s">
        <v>13</v>
      </c>
      <c r="C11" s="5" t="s">
        <v>70</v>
      </c>
      <c r="D11" s="6" t="s">
        <v>83</v>
      </c>
      <c r="E11" s="14">
        <v>1.5</v>
      </c>
      <c r="F11" s="4"/>
    </row>
    <row r="12" spans="1:6" x14ac:dyDescent="0.3">
      <c r="A12" s="13" t="s">
        <v>84</v>
      </c>
      <c r="B12" s="4" t="s">
        <v>13</v>
      </c>
      <c r="C12" s="5" t="s">
        <v>70</v>
      </c>
      <c r="D12" s="6" t="s">
        <v>85</v>
      </c>
      <c r="E12" s="14">
        <v>1.5</v>
      </c>
      <c r="F12" s="4"/>
    </row>
    <row r="13" spans="1:6" x14ac:dyDescent="0.3">
      <c r="A13" s="13" t="s">
        <v>86</v>
      </c>
      <c r="B13" s="4" t="s">
        <v>13</v>
      </c>
      <c r="C13" s="5" t="s">
        <v>70</v>
      </c>
      <c r="D13" s="6" t="s">
        <v>87</v>
      </c>
      <c r="E13" s="14">
        <v>1.5</v>
      </c>
      <c r="F13" s="4"/>
    </row>
    <row r="14" spans="1:6" x14ac:dyDescent="0.3">
      <c r="A14" s="13" t="s">
        <v>88</v>
      </c>
      <c r="B14" s="4" t="s">
        <v>13</v>
      </c>
      <c r="C14" s="5" t="s">
        <v>70</v>
      </c>
      <c r="D14" s="6" t="s">
        <v>89</v>
      </c>
      <c r="E14" s="14">
        <v>1.5</v>
      </c>
      <c r="F14" s="4"/>
    </row>
    <row r="15" spans="1:6" x14ac:dyDescent="0.3">
      <c r="A15" s="13" t="s">
        <v>90</v>
      </c>
      <c r="B15" s="4" t="s">
        <v>9</v>
      </c>
      <c r="C15" s="5" t="s">
        <v>91</v>
      </c>
      <c r="D15" s="6" t="s">
        <v>92</v>
      </c>
      <c r="E15" s="14">
        <v>1.5</v>
      </c>
      <c r="F15" s="4"/>
    </row>
    <row r="16" spans="1:6" x14ac:dyDescent="0.3">
      <c r="A16" s="13" t="s">
        <v>93</v>
      </c>
      <c r="B16" s="4" t="s">
        <v>9</v>
      </c>
      <c r="C16" s="5" t="s">
        <v>91</v>
      </c>
      <c r="D16" s="6" t="s">
        <v>94</v>
      </c>
      <c r="E16" s="14">
        <v>2</v>
      </c>
      <c r="F16" s="4"/>
    </row>
    <row r="17" spans="1:6" x14ac:dyDescent="0.3">
      <c r="A17" s="13" t="s">
        <v>95</v>
      </c>
      <c r="B17" s="4" t="s">
        <v>9</v>
      </c>
      <c r="C17" s="5" t="s">
        <v>96</v>
      </c>
      <c r="D17" s="6" t="s">
        <v>97</v>
      </c>
      <c r="E17" s="14">
        <v>1.5</v>
      </c>
      <c r="F17" s="4"/>
    </row>
    <row r="18" spans="1:6" x14ac:dyDescent="0.3">
      <c r="A18" s="13"/>
      <c r="B18" s="4" t="s">
        <v>9</v>
      </c>
      <c r="C18" s="5" t="s">
        <v>96</v>
      </c>
      <c r="D18" s="6" t="s">
        <v>98</v>
      </c>
      <c r="E18" s="14">
        <v>1.5</v>
      </c>
      <c r="F18" s="4"/>
    </row>
    <row r="19" spans="1:6" x14ac:dyDescent="0.3">
      <c r="A19" s="13" t="s">
        <v>99</v>
      </c>
      <c r="B19" s="4" t="s">
        <v>13</v>
      </c>
      <c r="C19" s="5" t="s">
        <v>100</v>
      </c>
      <c r="D19" s="6" t="s">
        <v>101</v>
      </c>
      <c r="E19" s="14">
        <v>1.5</v>
      </c>
      <c r="F19" s="4"/>
    </row>
    <row r="20" spans="1:6" x14ac:dyDescent="0.3">
      <c r="A20" s="13" t="s">
        <v>102</v>
      </c>
      <c r="B20" s="4" t="s">
        <v>13</v>
      </c>
      <c r="C20" s="5" t="s">
        <v>100</v>
      </c>
      <c r="D20" s="6" t="s">
        <v>103</v>
      </c>
      <c r="E20" s="14">
        <v>1.5</v>
      </c>
      <c r="F20" s="4"/>
    </row>
    <row r="21" spans="1:6" x14ac:dyDescent="0.3">
      <c r="A21" s="13" t="s">
        <v>104</v>
      </c>
      <c r="B21" s="4" t="s">
        <v>13</v>
      </c>
      <c r="C21" s="5" t="s">
        <v>100</v>
      </c>
      <c r="D21" s="6" t="s">
        <v>105</v>
      </c>
      <c r="E21" s="14">
        <v>1.5</v>
      </c>
      <c r="F21" s="4"/>
    </row>
    <row r="22" spans="1:6" x14ac:dyDescent="0.3">
      <c r="A22" s="13" t="s">
        <v>106</v>
      </c>
      <c r="B22" s="4" t="s">
        <v>9</v>
      </c>
      <c r="C22" s="5" t="s">
        <v>100</v>
      </c>
      <c r="D22" s="6" t="s">
        <v>107</v>
      </c>
      <c r="E22" s="14">
        <v>2</v>
      </c>
      <c r="F22" s="4"/>
    </row>
    <row r="23" spans="1:6" x14ac:dyDescent="0.3">
      <c r="D23" s="8" t="s">
        <v>61</v>
      </c>
      <c r="E23" s="2">
        <f>SUM(E5:E22)</f>
        <v>27.75</v>
      </c>
    </row>
    <row r="24" spans="1:6" x14ac:dyDescent="0.3">
      <c r="D24" s="9" t="s">
        <v>63</v>
      </c>
      <c r="E24" s="10">
        <f>SUMPRODUCT((B5:B22="Ignacio")*(E5:E22))</f>
        <v>19.25</v>
      </c>
    </row>
    <row r="25" spans="1:6" x14ac:dyDescent="0.3">
      <c r="D25" s="9" t="s">
        <v>65</v>
      </c>
      <c r="E25" s="10">
        <f>SUMPRODUCT((B5:B22="Sebastian")*(E5:E22))</f>
        <v>8.5</v>
      </c>
    </row>
    <row r="28" spans="1:6" ht="15.6" customHeight="1" x14ac:dyDescent="0.3">
      <c r="A28" s="3" t="s">
        <v>66</v>
      </c>
    </row>
    <row r="29" spans="1:6" x14ac:dyDescent="0.3">
      <c r="A29" s="1" t="s">
        <v>53</v>
      </c>
      <c r="B29" s="1" t="s">
        <v>54</v>
      </c>
      <c r="C29" s="1" t="s">
        <v>6</v>
      </c>
      <c r="D29" s="1" t="s">
        <v>7</v>
      </c>
    </row>
    <row r="30" spans="1:6" x14ac:dyDescent="0.3">
      <c r="A30" s="4" t="s">
        <v>57</v>
      </c>
      <c r="B30" s="11"/>
      <c r="C30" s="7"/>
      <c r="D30" s="4"/>
    </row>
    <row r="31" spans="1:6" x14ac:dyDescent="0.3">
      <c r="A31" s="4" t="s">
        <v>60</v>
      </c>
      <c r="B31" s="11"/>
      <c r="C31" s="7"/>
      <c r="D31" s="4"/>
    </row>
    <row r="32" spans="1:6" x14ac:dyDescent="0.3">
      <c r="A32" s="4" t="s">
        <v>62</v>
      </c>
      <c r="B32" s="11"/>
      <c r="C32" s="7"/>
      <c r="D32" s="4"/>
    </row>
    <row r="33" spans="1:5" x14ac:dyDescent="0.3">
      <c r="B33" s="8" t="s">
        <v>64</v>
      </c>
      <c r="C33" s="2">
        <f>SUM(C30:C32)</f>
        <v>0</v>
      </c>
    </row>
    <row r="35" spans="1:5" ht="16.8" customHeight="1" x14ac:dyDescent="0.3">
      <c r="A35" s="16" t="s">
        <v>108</v>
      </c>
      <c r="B35" s="17"/>
      <c r="C35" s="17"/>
      <c r="D35" s="18"/>
      <c r="E35" s="12">
        <f>E23+C33</f>
        <v>27.75</v>
      </c>
    </row>
  </sheetData>
  <mergeCells count="2">
    <mergeCell ref="A35:D3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11" customWidth="1"/>
    <col min="2" max="2" width="14" customWidth="1"/>
    <col min="3" max="3" width="55" customWidth="1"/>
    <col min="4" max="4" width="14" customWidth="1"/>
    <col min="5" max="5" width="25" customWidth="1"/>
  </cols>
  <sheetData>
    <row r="1" spans="1:5" ht="17.399999999999999" customHeight="1" x14ac:dyDescent="0.3">
      <c r="A1" s="19" t="s">
        <v>109</v>
      </c>
      <c r="B1" s="20"/>
      <c r="C1" s="20"/>
      <c r="D1" s="20"/>
      <c r="E1" s="20"/>
    </row>
    <row r="3" spans="1:5" ht="15.6" customHeight="1" x14ac:dyDescent="0.3">
      <c r="A3" s="3" t="s">
        <v>1</v>
      </c>
    </row>
    <row r="4" spans="1:5" x14ac:dyDescent="0.3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3">
      <c r="A5" s="13" t="s">
        <v>110</v>
      </c>
      <c r="B5" s="5" t="s">
        <v>111</v>
      </c>
      <c r="C5" s="6" t="s">
        <v>112</v>
      </c>
      <c r="D5" s="14">
        <v>1.5</v>
      </c>
      <c r="E5" s="4"/>
    </row>
    <row r="6" spans="1:5" x14ac:dyDescent="0.3">
      <c r="A6" s="13" t="s">
        <v>113</v>
      </c>
      <c r="B6" s="5" t="s">
        <v>111</v>
      </c>
      <c r="C6" s="6" t="s">
        <v>114</v>
      </c>
      <c r="D6" s="14">
        <v>1.5</v>
      </c>
      <c r="E6" s="4"/>
    </row>
    <row r="7" spans="1:5" x14ac:dyDescent="0.3">
      <c r="A7" s="13" t="s">
        <v>115</v>
      </c>
      <c r="B7" s="5" t="s">
        <v>111</v>
      </c>
      <c r="C7" s="6" t="s">
        <v>116</v>
      </c>
      <c r="D7" s="14">
        <v>1.5</v>
      </c>
      <c r="E7" s="4"/>
    </row>
    <row r="8" spans="1:5" x14ac:dyDescent="0.3">
      <c r="A8" s="13" t="s">
        <v>117</v>
      </c>
      <c r="B8" s="5" t="s">
        <v>118</v>
      </c>
      <c r="C8" s="6" t="s">
        <v>119</v>
      </c>
      <c r="D8" s="14">
        <v>1</v>
      </c>
      <c r="E8" s="4"/>
    </row>
    <row r="9" spans="1:5" x14ac:dyDescent="0.3">
      <c r="A9" s="13" t="s">
        <v>120</v>
      </c>
      <c r="B9" s="5" t="s">
        <v>118</v>
      </c>
      <c r="C9" s="6" t="s">
        <v>121</v>
      </c>
      <c r="D9" s="14">
        <v>2.5</v>
      </c>
      <c r="E9" s="4"/>
    </row>
    <row r="10" spans="1:5" x14ac:dyDescent="0.3">
      <c r="A10" s="13" t="s">
        <v>122</v>
      </c>
      <c r="B10" s="5" t="s">
        <v>118</v>
      </c>
      <c r="C10" s="6" t="s">
        <v>123</v>
      </c>
      <c r="D10" s="14">
        <v>2.5</v>
      </c>
      <c r="E10" s="4"/>
    </row>
    <row r="11" spans="1:5" x14ac:dyDescent="0.3">
      <c r="A11" s="13" t="s">
        <v>124</v>
      </c>
      <c r="B11" s="5" t="s">
        <v>118</v>
      </c>
      <c r="C11" s="6" t="s">
        <v>125</v>
      </c>
      <c r="D11" s="14">
        <v>2.5</v>
      </c>
      <c r="E11" s="4"/>
    </row>
    <row r="12" spans="1:5" x14ac:dyDescent="0.3">
      <c r="A12" s="13" t="s">
        <v>126</v>
      </c>
      <c r="B12" s="5" t="s">
        <v>118</v>
      </c>
      <c r="C12" s="6" t="s">
        <v>127</v>
      </c>
      <c r="D12" s="14">
        <v>1.5</v>
      </c>
      <c r="E12" s="4"/>
    </row>
    <row r="13" spans="1:5" x14ac:dyDescent="0.3">
      <c r="A13" s="13" t="s">
        <v>128</v>
      </c>
      <c r="B13" s="5" t="s">
        <v>118</v>
      </c>
      <c r="C13" s="6" t="s">
        <v>129</v>
      </c>
      <c r="D13" s="14">
        <v>1.5</v>
      </c>
      <c r="E13" s="4"/>
    </row>
    <row r="14" spans="1:5" x14ac:dyDescent="0.3">
      <c r="C14" s="8" t="s">
        <v>61</v>
      </c>
      <c r="D14" s="2">
        <f>SUM(D5:D13)</f>
        <v>16</v>
      </c>
    </row>
    <row r="17" spans="1:4" ht="15.6" customHeight="1" x14ac:dyDescent="0.3">
      <c r="A17" s="3" t="s">
        <v>66</v>
      </c>
    </row>
    <row r="18" spans="1:4" x14ac:dyDescent="0.3">
      <c r="A18" s="1" t="s">
        <v>53</v>
      </c>
      <c r="B18" s="1" t="s">
        <v>6</v>
      </c>
      <c r="C18" s="1" t="s">
        <v>7</v>
      </c>
    </row>
    <row r="19" spans="1:4" x14ac:dyDescent="0.3">
      <c r="A19" s="4" t="s">
        <v>57</v>
      </c>
      <c r="B19" s="7"/>
      <c r="C19" s="4"/>
    </row>
    <row r="20" spans="1:4" x14ac:dyDescent="0.3">
      <c r="A20" s="4" t="s">
        <v>60</v>
      </c>
      <c r="B20" s="7"/>
      <c r="C20" s="4"/>
    </row>
    <row r="21" spans="1:4" x14ac:dyDescent="0.3">
      <c r="A21" s="4" t="s">
        <v>62</v>
      </c>
      <c r="B21" s="7"/>
      <c r="C21" s="4"/>
    </row>
    <row r="22" spans="1:4" x14ac:dyDescent="0.3">
      <c r="B22" s="2">
        <f>SUM(B19:B21)</f>
        <v>0</v>
      </c>
    </row>
    <row r="24" spans="1:4" ht="16.8" customHeight="1" x14ac:dyDescent="0.3">
      <c r="A24" s="16" t="s">
        <v>130</v>
      </c>
      <c r="B24" s="17"/>
      <c r="C24" s="18"/>
      <c r="D24" s="12">
        <f>D14+B22</f>
        <v>16</v>
      </c>
    </row>
  </sheetData>
  <mergeCells count="2">
    <mergeCell ref="A1:E1"/>
    <mergeCell ref="A24:C2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11" customWidth="1"/>
    <col min="2" max="2" width="14" customWidth="1"/>
    <col min="3" max="3" width="55" customWidth="1"/>
    <col min="4" max="4" width="14" customWidth="1"/>
    <col min="5" max="5" width="25" customWidth="1"/>
  </cols>
  <sheetData>
    <row r="1" spans="1:5" ht="17.399999999999999" customHeight="1" x14ac:dyDescent="0.3">
      <c r="A1" s="19" t="s">
        <v>131</v>
      </c>
      <c r="B1" s="20"/>
      <c r="C1" s="20"/>
      <c r="D1" s="20"/>
      <c r="E1" s="20"/>
    </row>
    <row r="3" spans="1:5" ht="15.6" customHeight="1" x14ac:dyDescent="0.3">
      <c r="A3" s="3" t="s">
        <v>1</v>
      </c>
    </row>
    <row r="4" spans="1:5" x14ac:dyDescent="0.3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3">
      <c r="A5" s="13" t="s">
        <v>132</v>
      </c>
      <c r="B5" s="5" t="s">
        <v>133</v>
      </c>
      <c r="C5" s="6" t="s">
        <v>134</v>
      </c>
      <c r="D5" s="14">
        <v>1</v>
      </c>
      <c r="E5" s="4"/>
    </row>
    <row r="6" spans="1:5" x14ac:dyDescent="0.3">
      <c r="A6" s="13" t="s">
        <v>135</v>
      </c>
      <c r="B6" s="5" t="s">
        <v>136</v>
      </c>
      <c r="C6" s="6" t="s">
        <v>137</v>
      </c>
      <c r="D6" s="14">
        <v>1</v>
      </c>
      <c r="E6" s="4"/>
    </row>
    <row r="7" spans="1:5" x14ac:dyDescent="0.3">
      <c r="A7" s="13" t="s">
        <v>138</v>
      </c>
      <c r="B7" s="5" t="s">
        <v>139</v>
      </c>
      <c r="C7" s="6" t="s">
        <v>140</v>
      </c>
      <c r="D7" s="14">
        <v>1.5</v>
      </c>
      <c r="E7" s="4"/>
    </row>
    <row r="8" spans="1:5" x14ac:dyDescent="0.3">
      <c r="A8" s="13" t="s">
        <v>141</v>
      </c>
      <c r="B8" s="5" t="s">
        <v>139</v>
      </c>
      <c r="C8" s="6" t="s">
        <v>142</v>
      </c>
      <c r="D8" s="14">
        <v>1.5</v>
      </c>
      <c r="E8" s="4"/>
    </row>
    <row r="9" spans="1:5" x14ac:dyDescent="0.3">
      <c r="A9" s="13" t="s">
        <v>143</v>
      </c>
      <c r="B9" s="5" t="s">
        <v>139</v>
      </c>
      <c r="C9" s="6" t="s">
        <v>144</v>
      </c>
      <c r="D9" s="14">
        <v>1.5</v>
      </c>
      <c r="E9" s="4"/>
    </row>
    <row r="10" spans="1:5" x14ac:dyDescent="0.3">
      <c r="A10" s="13" t="s">
        <v>145</v>
      </c>
      <c r="B10" s="5" t="s">
        <v>146</v>
      </c>
      <c r="C10" s="6" t="s">
        <v>147</v>
      </c>
      <c r="D10" s="14">
        <v>1.25</v>
      </c>
      <c r="E10" s="4"/>
    </row>
    <row r="11" spans="1:5" x14ac:dyDescent="0.3">
      <c r="A11" s="13" t="s">
        <v>148</v>
      </c>
      <c r="B11" s="5" t="s">
        <v>146</v>
      </c>
      <c r="C11" s="6" t="s">
        <v>149</v>
      </c>
      <c r="D11" s="14">
        <v>0.25</v>
      </c>
      <c r="E11" s="4"/>
    </row>
    <row r="12" spans="1:5" x14ac:dyDescent="0.3">
      <c r="A12" s="13" t="s">
        <v>110</v>
      </c>
      <c r="B12" s="5" t="s">
        <v>150</v>
      </c>
      <c r="C12" s="6" t="s">
        <v>151</v>
      </c>
      <c r="D12" s="14">
        <v>0.25</v>
      </c>
      <c r="E12" s="4"/>
    </row>
    <row r="13" spans="1:5" x14ac:dyDescent="0.3">
      <c r="A13" s="13" t="s">
        <v>152</v>
      </c>
      <c r="B13" s="5" t="s">
        <v>150</v>
      </c>
      <c r="C13" s="6" t="s">
        <v>153</v>
      </c>
      <c r="D13" s="14">
        <v>1</v>
      </c>
      <c r="E13" s="4"/>
    </row>
    <row r="14" spans="1:5" x14ac:dyDescent="0.3">
      <c r="A14" s="13" t="s">
        <v>154</v>
      </c>
      <c r="B14" s="5" t="s">
        <v>155</v>
      </c>
      <c r="C14" s="6" t="s">
        <v>156</v>
      </c>
      <c r="D14" s="14">
        <v>1.5</v>
      </c>
      <c r="E14" s="4"/>
    </row>
    <row r="15" spans="1:5" x14ac:dyDescent="0.3">
      <c r="A15" s="13" t="s">
        <v>157</v>
      </c>
      <c r="B15" s="5" t="s">
        <v>158</v>
      </c>
      <c r="C15" s="6" t="s">
        <v>159</v>
      </c>
      <c r="D15" s="14">
        <v>1.5</v>
      </c>
      <c r="E15" s="4"/>
    </row>
    <row r="16" spans="1:5" x14ac:dyDescent="0.3">
      <c r="A16" s="13" t="s">
        <v>160</v>
      </c>
      <c r="B16" s="5" t="s">
        <v>158</v>
      </c>
      <c r="C16" s="6" t="s">
        <v>161</v>
      </c>
      <c r="D16" s="14">
        <v>1.5</v>
      </c>
      <c r="E16" s="4"/>
    </row>
    <row r="17" spans="1:5" x14ac:dyDescent="0.3">
      <c r="A17" s="13" t="s">
        <v>162</v>
      </c>
      <c r="B17" s="5" t="s">
        <v>163</v>
      </c>
      <c r="C17" s="6" t="s">
        <v>164</v>
      </c>
      <c r="D17" s="14">
        <v>1.25</v>
      </c>
      <c r="E17" s="4"/>
    </row>
    <row r="18" spans="1:5" x14ac:dyDescent="0.3">
      <c r="A18" s="13" t="s">
        <v>165</v>
      </c>
      <c r="B18" s="5" t="s">
        <v>166</v>
      </c>
      <c r="C18" s="6" t="s">
        <v>167</v>
      </c>
      <c r="D18" s="14">
        <v>1.5</v>
      </c>
      <c r="E18" s="4"/>
    </row>
    <row r="19" spans="1:5" x14ac:dyDescent="0.3">
      <c r="C19" s="8" t="s">
        <v>61</v>
      </c>
      <c r="D19" s="2">
        <v>16.5</v>
      </c>
    </row>
    <row r="20" spans="1:5" x14ac:dyDescent="0.3">
      <c r="C20" s="9" t="s">
        <v>168</v>
      </c>
      <c r="D20" s="10">
        <v>4.75</v>
      </c>
    </row>
    <row r="21" spans="1:5" x14ac:dyDescent="0.3">
      <c r="C21" s="9" t="s">
        <v>63</v>
      </c>
      <c r="D21" s="10">
        <v>3.25</v>
      </c>
    </row>
    <row r="22" spans="1:5" x14ac:dyDescent="0.3">
      <c r="C22" s="9" t="s">
        <v>65</v>
      </c>
      <c r="D22" s="10">
        <v>8.5</v>
      </c>
    </row>
    <row r="25" spans="1:5" ht="15.6" customHeight="1" x14ac:dyDescent="0.3">
      <c r="A25" s="3" t="s">
        <v>66</v>
      </c>
    </row>
    <row r="26" spans="1:5" x14ac:dyDescent="0.3">
      <c r="A26" s="1" t="s">
        <v>53</v>
      </c>
      <c r="B26" s="1" t="s">
        <v>6</v>
      </c>
      <c r="C26" s="1" t="s">
        <v>7</v>
      </c>
    </row>
    <row r="27" spans="1:5" x14ac:dyDescent="0.3">
      <c r="A27" s="4" t="s">
        <v>57</v>
      </c>
      <c r="B27" s="7"/>
      <c r="C27" s="4"/>
    </row>
    <row r="28" spans="1:5" x14ac:dyDescent="0.3">
      <c r="A28" s="4" t="s">
        <v>60</v>
      </c>
      <c r="B28" s="7"/>
      <c r="C28" s="4"/>
    </row>
    <row r="29" spans="1:5" x14ac:dyDescent="0.3">
      <c r="A29" s="4" t="s">
        <v>62</v>
      </c>
      <c r="B29" s="7"/>
      <c r="C29" s="4"/>
    </row>
    <row r="30" spans="1:5" x14ac:dyDescent="0.3">
      <c r="B30" s="2">
        <f>SUM(B27:B29)</f>
        <v>0</v>
      </c>
    </row>
    <row r="32" spans="1:5" ht="16.8" customHeight="1" x14ac:dyDescent="0.3">
      <c r="A32" s="16" t="s">
        <v>169</v>
      </c>
      <c r="B32" s="17"/>
      <c r="C32" s="18"/>
      <c r="D32" s="12">
        <f>D19+B30</f>
        <v>16.5</v>
      </c>
    </row>
  </sheetData>
  <mergeCells count="2">
    <mergeCell ref="A32:C32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selection activeCell="D5" sqref="D5:D13"/>
    </sheetView>
  </sheetViews>
  <sheetFormatPr baseColWidth="10" defaultColWidth="8.88671875" defaultRowHeight="14.4" x14ac:dyDescent="0.3"/>
  <cols>
    <col min="1" max="1" width="11" customWidth="1"/>
    <col min="2" max="2" width="14" customWidth="1"/>
    <col min="3" max="3" width="55" customWidth="1"/>
    <col min="4" max="4" width="14" customWidth="1"/>
    <col min="5" max="5" width="25" customWidth="1"/>
  </cols>
  <sheetData>
    <row r="1" spans="1:5" ht="17.399999999999999" customHeight="1" x14ac:dyDescent="0.3">
      <c r="A1" s="19" t="s">
        <v>170</v>
      </c>
      <c r="B1" s="20"/>
      <c r="C1" s="20"/>
      <c r="D1" s="20"/>
      <c r="E1" s="20"/>
    </row>
    <row r="3" spans="1:5" ht="15.6" customHeight="1" x14ac:dyDescent="0.3">
      <c r="A3" s="3" t="s">
        <v>1</v>
      </c>
    </row>
    <row r="4" spans="1:5" x14ac:dyDescent="0.3">
      <c r="A4" s="1" t="s">
        <v>2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3">
      <c r="A5" s="13" t="s">
        <v>171</v>
      </c>
      <c r="B5" s="5" t="s">
        <v>172</v>
      </c>
      <c r="C5" s="6" t="s">
        <v>173</v>
      </c>
      <c r="D5" s="14">
        <v>0.25</v>
      </c>
      <c r="E5" s="4"/>
    </row>
    <row r="6" spans="1:5" x14ac:dyDescent="0.3">
      <c r="A6" s="13" t="s">
        <v>174</v>
      </c>
      <c r="B6" s="5" t="s">
        <v>175</v>
      </c>
      <c r="C6" s="6" t="s">
        <v>176</v>
      </c>
      <c r="D6" s="14">
        <v>1.5</v>
      </c>
      <c r="E6" s="4"/>
    </row>
    <row r="7" spans="1:5" x14ac:dyDescent="0.3">
      <c r="A7" s="13" t="s">
        <v>177</v>
      </c>
      <c r="B7" s="5" t="s">
        <v>175</v>
      </c>
      <c r="C7" s="6" t="s">
        <v>178</v>
      </c>
      <c r="D7" s="14">
        <v>1.5</v>
      </c>
      <c r="E7" s="4"/>
    </row>
    <row r="8" spans="1:5" x14ac:dyDescent="0.3">
      <c r="A8" s="13" t="s">
        <v>179</v>
      </c>
      <c r="B8" s="5" t="s">
        <v>175</v>
      </c>
      <c r="C8" s="6" t="s">
        <v>180</v>
      </c>
      <c r="D8" s="14">
        <v>1.25</v>
      </c>
      <c r="E8" s="4"/>
    </row>
    <row r="9" spans="1:5" x14ac:dyDescent="0.3">
      <c r="A9" s="13" t="s">
        <v>181</v>
      </c>
      <c r="B9" s="5" t="s">
        <v>182</v>
      </c>
      <c r="C9" s="6" t="s">
        <v>183</v>
      </c>
      <c r="D9" s="14">
        <v>0.25</v>
      </c>
      <c r="E9" s="4"/>
    </row>
    <row r="10" spans="1:5" x14ac:dyDescent="0.3">
      <c r="A10" s="13" t="s">
        <v>184</v>
      </c>
      <c r="B10" s="5" t="s">
        <v>182</v>
      </c>
      <c r="C10" s="6" t="s">
        <v>185</v>
      </c>
      <c r="D10" s="14">
        <v>1</v>
      </c>
      <c r="E10" s="4"/>
    </row>
    <row r="11" spans="1:5" x14ac:dyDescent="0.3">
      <c r="A11" s="13" t="s">
        <v>186</v>
      </c>
      <c r="B11" s="5" t="s">
        <v>187</v>
      </c>
      <c r="C11" s="6" t="s">
        <v>188</v>
      </c>
      <c r="D11" s="14">
        <v>1.5</v>
      </c>
      <c r="E11" s="4"/>
    </row>
    <row r="12" spans="1:5" x14ac:dyDescent="0.3">
      <c r="A12" s="13" t="s">
        <v>189</v>
      </c>
      <c r="B12" s="5" t="s">
        <v>190</v>
      </c>
      <c r="C12" s="6" t="s">
        <v>191</v>
      </c>
      <c r="D12" s="14">
        <v>1.5</v>
      </c>
      <c r="E12" s="4"/>
    </row>
    <row r="13" spans="1:5" x14ac:dyDescent="0.3">
      <c r="A13" s="13" t="s">
        <v>192</v>
      </c>
      <c r="B13" s="5" t="s">
        <v>193</v>
      </c>
      <c r="C13" s="6" t="s">
        <v>194</v>
      </c>
      <c r="D13" s="14">
        <v>0.25</v>
      </c>
      <c r="E13" s="4"/>
    </row>
    <row r="14" spans="1:5" ht="13.8" customHeight="1" x14ac:dyDescent="0.3">
      <c r="C14" s="8" t="s">
        <v>61</v>
      </c>
      <c r="D14" s="2">
        <f>SUM(D5:D13)</f>
        <v>9</v>
      </c>
    </row>
    <row r="17" spans="1:4" ht="15.6" customHeight="1" x14ac:dyDescent="0.3">
      <c r="A17" s="3" t="s">
        <v>66</v>
      </c>
    </row>
    <row r="18" spans="1:4" x14ac:dyDescent="0.3">
      <c r="A18" s="1" t="s">
        <v>53</v>
      </c>
      <c r="B18" s="1" t="s">
        <v>6</v>
      </c>
      <c r="C18" s="1" t="s">
        <v>7</v>
      </c>
    </row>
    <row r="19" spans="1:4" x14ac:dyDescent="0.3">
      <c r="A19" s="4" t="s">
        <v>57</v>
      </c>
      <c r="B19" s="7"/>
      <c r="C19" s="4"/>
    </row>
    <row r="20" spans="1:4" x14ac:dyDescent="0.3">
      <c r="A20" s="4" t="s">
        <v>60</v>
      </c>
      <c r="B20" s="7"/>
      <c r="C20" s="4"/>
    </row>
    <row r="21" spans="1:4" x14ac:dyDescent="0.3">
      <c r="A21" s="4" t="s">
        <v>62</v>
      </c>
      <c r="B21" s="7"/>
      <c r="C21" s="4"/>
    </row>
    <row r="22" spans="1:4" x14ac:dyDescent="0.3">
      <c r="B22" s="2">
        <f>SUM(B19:B21)</f>
        <v>0</v>
      </c>
    </row>
    <row r="24" spans="1:4" ht="16.8" customHeight="1" x14ac:dyDescent="0.3">
      <c r="A24" s="16" t="s">
        <v>195</v>
      </c>
      <c r="B24" s="17"/>
      <c r="C24" s="18"/>
      <c r="D24" s="12">
        <f>D14+B22</f>
        <v>9</v>
      </c>
    </row>
  </sheetData>
  <mergeCells count="2">
    <mergeCell ref="A1:E1"/>
    <mergeCell ref="A24:C2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7"/>
  <sheetViews>
    <sheetView topLeftCell="A5" workbookViewId="0">
      <selection activeCell="C9" sqref="C9"/>
    </sheetView>
  </sheetViews>
  <sheetFormatPr baseColWidth="10" defaultColWidth="8.88671875" defaultRowHeight="14.4" x14ac:dyDescent="0.3"/>
  <cols>
    <col min="1" max="1" width="11" customWidth="1"/>
    <col min="2" max="3" width="14" customWidth="1"/>
    <col min="4" max="4" width="55" customWidth="1"/>
    <col min="5" max="5" width="14" customWidth="1"/>
    <col min="6" max="6" width="25" customWidth="1"/>
    <col min="12" max="12" width="8.5546875" bestFit="1" customWidth="1"/>
  </cols>
  <sheetData>
    <row r="1" spans="1:6" ht="17.399999999999999" customHeight="1" x14ac:dyDescent="0.3">
      <c r="A1" s="19" t="s">
        <v>0</v>
      </c>
      <c r="B1" s="20"/>
      <c r="C1" s="20"/>
      <c r="D1" s="20"/>
      <c r="E1" s="20"/>
      <c r="F1" s="20"/>
    </row>
    <row r="3" spans="1:6" ht="15.6" customHeight="1" x14ac:dyDescent="0.3">
      <c r="A3" s="3" t="s">
        <v>1</v>
      </c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13" t="s">
        <v>8</v>
      </c>
      <c r="B5" s="4" t="s">
        <v>9</v>
      </c>
      <c r="C5" s="5" t="s">
        <v>10</v>
      </c>
      <c r="D5" s="6" t="s">
        <v>11</v>
      </c>
      <c r="E5" s="14">
        <v>1.5</v>
      </c>
      <c r="F5" s="4"/>
    </row>
    <row r="6" spans="1:6" x14ac:dyDescent="0.3">
      <c r="A6" s="13" t="s">
        <v>12</v>
      </c>
      <c r="B6" s="4" t="s">
        <v>13</v>
      </c>
      <c r="C6" s="5" t="s">
        <v>14</v>
      </c>
      <c r="D6" s="6" t="s">
        <v>15</v>
      </c>
      <c r="E6" s="14">
        <v>1.25</v>
      </c>
      <c r="F6" s="4"/>
    </row>
    <row r="7" spans="1:6" x14ac:dyDescent="0.3">
      <c r="A7" s="13" t="s">
        <v>16</v>
      </c>
      <c r="B7" s="4" t="s">
        <v>13</v>
      </c>
      <c r="C7" s="5" t="s">
        <v>14</v>
      </c>
      <c r="D7" s="6" t="s">
        <v>17</v>
      </c>
      <c r="E7" s="14">
        <v>1</v>
      </c>
      <c r="F7" s="4"/>
    </row>
    <row r="8" spans="1:6" x14ac:dyDescent="0.3">
      <c r="A8" s="13" t="s">
        <v>18</v>
      </c>
      <c r="B8" s="4" t="s">
        <v>13</v>
      </c>
      <c r="C8" s="5" t="s">
        <v>14</v>
      </c>
      <c r="D8" s="6" t="s">
        <v>19</v>
      </c>
      <c r="E8" s="14">
        <v>1</v>
      </c>
      <c r="F8" s="4"/>
    </row>
    <row r="9" spans="1:6" x14ac:dyDescent="0.3">
      <c r="A9" s="13" t="s">
        <v>20</v>
      </c>
      <c r="B9" s="4" t="s">
        <v>13</v>
      </c>
      <c r="C9" s="5" t="s">
        <v>14</v>
      </c>
      <c r="D9" s="6" t="s">
        <v>21</v>
      </c>
      <c r="E9" s="14">
        <v>1</v>
      </c>
      <c r="F9" s="4"/>
    </row>
    <row r="10" spans="1:6" x14ac:dyDescent="0.3">
      <c r="A10" s="13" t="s">
        <v>22</v>
      </c>
      <c r="B10" s="4" t="s">
        <v>13</v>
      </c>
      <c r="C10" s="5" t="s">
        <v>14</v>
      </c>
      <c r="D10" s="6" t="s">
        <v>23</v>
      </c>
      <c r="E10" s="14">
        <v>1</v>
      </c>
      <c r="F10" s="4"/>
    </row>
    <row r="11" spans="1:6" x14ac:dyDescent="0.3">
      <c r="A11" s="13" t="s">
        <v>24</v>
      </c>
      <c r="B11" s="4" t="s">
        <v>13</v>
      </c>
      <c r="C11" s="5" t="s">
        <v>14</v>
      </c>
      <c r="D11" s="6" t="s">
        <v>25</v>
      </c>
      <c r="E11" s="14">
        <v>1</v>
      </c>
      <c r="F11" s="4"/>
    </row>
    <row r="12" spans="1:6" x14ac:dyDescent="0.3">
      <c r="A12" s="13" t="s">
        <v>26</v>
      </c>
      <c r="B12" s="4" t="s">
        <v>13</v>
      </c>
      <c r="C12" s="5" t="s">
        <v>14</v>
      </c>
      <c r="D12" s="6" t="s">
        <v>27</v>
      </c>
      <c r="E12" s="14">
        <v>1</v>
      </c>
      <c r="F12" s="4"/>
    </row>
    <row r="13" spans="1:6" x14ac:dyDescent="0.3">
      <c r="A13" s="13" t="s">
        <v>28</v>
      </c>
      <c r="B13" s="4" t="s">
        <v>9</v>
      </c>
      <c r="C13" s="5" t="s">
        <v>14</v>
      </c>
      <c r="D13" s="6" t="s">
        <v>29</v>
      </c>
      <c r="E13" s="14">
        <v>1.5</v>
      </c>
      <c r="F13" s="4"/>
    </row>
    <row r="14" spans="1:6" x14ac:dyDescent="0.3">
      <c r="A14" s="13" t="s">
        <v>30</v>
      </c>
      <c r="B14" s="4" t="s">
        <v>9</v>
      </c>
      <c r="C14" s="5" t="s">
        <v>31</v>
      </c>
      <c r="D14" s="6" t="s">
        <v>32</v>
      </c>
      <c r="E14" s="14">
        <v>1</v>
      </c>
      <c r="F14" s="4"/>
    </row>
    <row r="15" spans="1:6" x14ac:dyDescent="0.3">
      <c r="A15" s="13" t="s">
        <v>33</v>
      </c>
      <c r="B15" s="4" t="s">
        <v>9</v>
      </c>
      <c r="C15" s="5" t="s">
        <v>34</v>
      </c>
      <c r="D15" s="6" t="s">
        <v>35</v>
      </c>
      <c r="E15" s="14">
        <v>1.5</v>
      </c>
      <c r="F15" s="4"/>
    </row>
    <row r="16" spans="1:6" x14ac:dyDescent="0.3">
      <c r="A16" s="13" t="s">
        <v>36</v>
      </c>
      <c r="B16" s="4" t="s">
        <v>13</v>
      </c>
      <c r="C16" s="5" t="s">
        <v>37</v>
      </c>
      <c r="D16" s="6" t="s">
        <v>38</v>
      </c>
      <c r="E16" s="14">
        <v>0.5</v>
      </c>
      <c r="F16" s="4"/>
    </row>
    <row r="17" spans="1:12" x14ac:dyDescent="0.3">
      <c r="A17" s="13" t="s">
        <v>39</v>
      </c>
      <c r="B17" s="4" t="s">
        <v>13</v>
      </c>
      <c r="C17" s="5" t="s">
        <v>37</v>
      </c>
      <c r="D17" s="6" t="s">
        <v>40</v>
      </c>
      <c r="E17" s="14">
        <v>0.75</v>
      </c>
      <c r="F17" s="4"/>
    </row>
    <row r="18" spans="1:12" x14ac:dyDescent="0.3">
      <c r="A18" s="13" t="s">
        <v>41</v>
      </c>
      <c r="B18" s="4" t="s">
        <v>13</v>
      </c>
      <c r="C18" s="5" t="s">
        <v>42</v>
      </c>
      <c r="D18" s="6" t="s">
        <v>43</v>
      </c>
      <c r="E18" s="14">
        <v>0.5</v>
      </c>
      <c r="F18" s="4"/>
    </row>
    <row r="19" spans="1:12" x14ac:dyDescent="0.3">
      <c r="A19" s="13" t="s">
        <v>44</v>
      </c>
      <c r="B19" s="4" t="s">
        <v>13</v>
      </c>
      <c r="C19" s="5" t="s">
        <v>42</v>
      </c>
      <c r="D19" s="6" t="s">
        <v>45</v>
      </c>
      <c r="E19" s="14">
        <v>0.75</v>
      </c>
      <c r="F19" s="4"/>
    </row>
    <row r="20" spans="1:12" x14ac:dyDescent="0.3">
      <c r="A20" s="13" t="s">
        <v>46</v>
      </c>
      <c r="B20" s="4" t="s">
        <v>13</v>
      </c>
      <c r="C20" s="5" t="s">
        <v>42</v>
      </c>
      <c r="D20" s="6" t="s">
        <v>47</v>
      </c>
      <c r="E20" s="14">
        <v>1</v>
      </c>
      <c r="F20" s="4"/>
    </row>
    <row r="21" spans="1:12" x14ac:dyDescent="0.3">
      <c r="A21" s="13" t="s">
        <v>48</v>
      </c>
      <c r="B21" s="4" t="s">
        <v>9</v>
      </c>
      <c r="C21" s="5" t="s">
        <v>42</v>
      </c>
      <c r="D21" s="6" t="s">
        <v>49</v>
      </c>
      <c r="E21" s="14">
        <v>0.25</v>
      </c>
      <c r="F21" s="4"/>
    </row>
    <row r="22" spans="1:12" ht="28.2" customHeight="1" x14ac:dyDescent="0.3">
      <c r="A22" s="13" t="s">
        <v>50</v>
      </c>
      <c r="B22" s="4" t="s">
        <v>13</v>
      </c>
      <c r="C22" s="5" t="s">
        <v>51</v>
      </c>
      <c r="D22" s="6" t="s">
        <v>52</v>
      </c>
      <c r="E22" s="14">
        <v>1.25</v>
      </c>
      <c r="F22" s="4"/>
      <c r="I22" s="1" t="s">
        <v>53</v>
      </c>
      <c r="J22" s="1" t="s">
        <v>54</v>
      </c>
      <c r="K22" s="1" t="s">
        <v>6</v>
      </c>
      <c r="L22" s="1" t="s">
        <v>7</v>
      </c>
    </row>
    <row r="23" spans="1:12" x14ac:dyDescent="0.3">
      <c r="A23" s="13" t="s">
        <v>55</v>
      </c>
      <c r="B23" s="4" t="s">
        <v>13</v>
      </c>
      <c r="C23" s="5" t="s">
        <v>51</v>
      </c>
      <c r="D23" s="6" t="s">
        <v>56</v>
      </c>
      <c r="E23" s="14">
        <v>1</v>
      </c>
      <c r="F23" s="4"/>
      <c r="I23" s="4" t="s">
        <v>57</v>
      </c>
      <c r="J23" s="11"/>
      <c r="K23" s="7"/>
      <c r="L23" s="4"/>
    </row>
    <row r="24" spans="1:12" x14ac:dyDescent="0.3">
      <c r="A24" s="13" t="s">
        <v>58</v>
      </c>
      <c r="B24" s="4" t="s">
        <v>13</v>
      </c>
      <c r="C24" s="5" t="s">
        <v>51</v>
      </c>
      <c r="D24" s="6" t="s">
        <v>59</v>
      </c>
      <c r="E24" s="14">
        <v>1</v>
      </c>
      <c r="F24" s="4"/>
      <c r="I24" s="4" t="s">
        <v>60</v>
      </c>
      <c r="J24" s="11"/>
      <c r="K24" s="7"/>
      <c r="L24" s="4"/>
    </row>
    <row r="25" spans="1:12" x14ac:dyDescent="0.3">
      <c r="D25" s="8" t="s">
        <v>61</v>
      </c>
      <c r="E25" s="2">
        <f>SUM(E5:E24)</f>
        <v>19.75</v>
      </c>
      <c r="I25" s="4" t="s">
        <v>62</v>
      </c>
      <c r="J25" s="11"/>
      <c r="K25" s="7"/>
      <c r="L25" s="4"/>
    </row>
    <row r="26" spans="1:12" x14ac:dyDescent="0.3">
      <c r="D26" s="9" t="s">
        <v>63</v>
      </c>
      <c r="E26" s="10">
        <f>SUMPRODUCT((B5:B24="Ignacio")*(E5:E24))</f>
        <v>14</v>
      </c>
      <c r="J26" s="15" t="s">
        <v>64</v>
      </c>
      <c r="K26" s="2">
        <f>SUM(K23:K25)</f>
        <v>0</v>
      </c>
    </row>
    <row r="27" spans="1:12" x14ac:dyDescent="0.3">
      <c r="D27" s="9" t="s">
        <v>65</v>
      </c>
      <c r="E27" s="10">
        <f>SUMPRODUCT((B5:B24="Sebastian")*(E5:E24))</f>
        <v>5.75</v>
      </c>
    </row>
    <row r="30" spans="1:12" ht="15.6" customHeight="1" x14ac:dyDescent="0.3">
      <c r="A30" s="3" t="s">
        <v>66</v>
      </c>
    </row>
    <row r="37" spans="1:5" ht="16.8" customHeight="1" x14ac:dyDescent="0.3">
      <c r="A37" s="16" t="s">
        <v>67</v>
      </c>
      <c r="B37" s="17"/>
      <c r="C37" s="17"/>
      <c r="D37" s="18"/>
      <c r="E37" s="12">
        <f>E25+K26</f>
        <v>19.75</v>
      </c>
    </row>
  </sheetData>
  <mergeCells count="2">
    <mergeCell ref="A37:D37"/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"/>
  <sheetViews>
    <sheetView tabSelected="1" topLeftCell="A21" workbookViewId="0">
      <selection activeCell="E40" sqref="E40"/>
    </sheetView>
  </sheetViews>
  <sheetFormatPr baseColWidth="10" defaultColWidth="8.88671875" defaultRowHeight="14.4" x14ac:dyDescent="0.3"/>
  <cols>
    <col min="1" max="1" width="24" bestFit="1" customWidth="1"/>
    <col min="2" max="2" width="18.6640625" customWidth="1"/>
    <col min="3" max="3" width="12.5546875" bestFit="1" customWidth="1"/>
    <col min="4" max="4" width="55" customWidth="1"/>
    <col min="5" max="5" width="14" customWidth="1"/>
    <col min="6" max="6" width="25" customWidth="1"/>
  </cols>
  <sheetData>
    <row r="1" spans="1:6" ht="17.399999999999999" customHeight="1" x14ac:dyDescent="0.3">
      <c r="A1" s="19" t="s">
        <v>196</v>
      </c>
      <c r="B1" s="20"/>
      <c r="C1" s="20"/>
      <c r="D1" s="20"/>
      <c r="E1" s="20"/>
      <c r="F1" s="20"/>
    </row>
    <row r="3" spans="1:6" ht="15.6" customHeight="1" x14ac:dyDescent="0.3">
      <c r="A3" s="3" t="s">
        <v>1</v>
      </c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13" t="s">
        <v>197</v>
      </c>
      <c r="B5" s="4" t="s">
        <v>13</v>
      </c>
      <c r="C5" s="5" t="s">
        <v>198</v>
      </c>
      <c r="D5" s="6" t="s">
        <v>199</v>
      </c>
      <c r="E5" s="14">
        <v>2</v>
      </c>
      <c r="F5" s="4"/>
    </row>
    <row r="6" spans="1:6" x14ac:dyDescent="0.3">
      <c r="A6" s="13" t="s">
        <v>200</v>
      </c>
      <c r="B6" s="4" t="s">
        <v>13</v>
      </c>
      <c r="C6" s="5" t="s">
        <v>201</v>
      </c>
      <c r="D6" s="6" t="s">
        <v>202</v>
      </c>
      <c r="E6" s="14">
        <v>1</v>
      </c>
      <c r="F6" s="4"/>
    </row>
    <row r="7" spans="1:6" x14ac:dyDescent="0.3">
      <c r="A7" s="13" t="s">
        <v>203</v>
      </c>
      <c r="B7" s="4" t="s">
        <v>13</v>
      </c>
      <c r="C7" s="5" t="s">
        <v>201</v>
      </c>
      <c r="D7" s="6" t="s">
        <v>204</v>
      </c>
      <c r="E7" s="14">
        <v>0.75</v>
      </c>
      <c r="F7" s="4"/>
    </row>
    <row r="8" spans="1:6" x14ac:dyDescent="0.3">
      <c r="A8" s="13" t="s">
        <v>205</v>
      </c>
      <c r="B8" s="4" t="s">
        <v>13</v>
      </c>
      <c r="C8" s="5" t="s">
        <v>201</v>
      </c>
      <c r="D8" s="6" t="s">
        <v>206</v>
      </c>
      <c r="E8" s="14">
        <v>0.75</v>
      </c>
      <c r="F8" s="4"/>
    </row>
    <row r="9" spans="1:6" x14ac:dyDescent="0.3">
      <c r="A9" s="13" t="s">
        <v>207</v>
      </c>
      <c r="B9" s="4" t="s">
        <v>13</v>
      </c>
      <c r="C9" s="5" t="s">
        <v>201</v>
      </c>
      <c r="D9" s="6" t="s">
        <v>208</v>
      </c>
      <c r="E9" s="14">
        <v>0.75</v>
      </c>
      <c r="F9" s="4"/>
    </row>
    <row r="10" spans="1:6" x14ac:dyDescent="0.3">
      <c r="A10" s="13" t="s">
        <v>209</v>
      </c>
      <c r="B10" s="4" t="s">
        <v>13</v>
      </c>
      <c r="C10" s="5" t="s">
        <v>201</v>
      </c>
      <c r="D10" s="6" t="s">
        <v>210</v>
      </c>
      <c r="E10" s="14">
        <v>0.75</v>
      </c>
      <c r="F10" s="4"/>
    </row>
    <row r="11" spans="1:6" x14ac:dyDescent="0.3">
      <c r="A11" s="13" t="s">
        <v>211</v>
      </c>
      <c r="B11" s="4" t="s">
        <v>13</v>
      </c>
      <c r="C11" s="5" t="s">
        <v>201</v>
      </c>
      <c r="D11" s="6" t="s">
        <v>212</v>
      </c>
      <c r="E11" s="14">
        <v>0.75</v>
      </c>
      <c r="F11" s="4"/>
    </row>
    <row r="12" spans="1:6" x14ac:dyDescent="0.3">
      <c r="A12" s="13" t="s">
        <v>213</v>
      </c>
      <c r="B12" s="4" t="s">
        <v>13</v>
      </c>
      <c r="C12" s="5" t="s">
        <v>201</v>
      </c>
      <c r="D12" s="6" t="s">
        <v>214</v>
      </c>
      <c r="E12" s="14">
        <v>0.75</v>
      </c>
      <c r="F12" s="4"/>
    </row>
    <row r="13" spans="1:6" x14ac:dyDescent="0.3">
      <c r="A13" s="13" t="s">
        <v>215</v>
      </c>
      <c r="B13" s="4" t="s">
        <v>13</v>
      </c>
      <c r="C13" s="5" t="s">
        <v>201</v>
      </c>
      <c r="D13" s="6" t="s">
        <v>216</v>
      </c>
      <c r="E13" s="14">
        <v>0.5</v>
      </c>
      <c r="F13" s="4"/>
    </row>
    <row r="14" spans="1:6" x14ac:dyDescent="0.3">
      <c r="A14" s="13" t="s">
        <v>217</v>
      </c>
      <c r="B14" s="4" t="s">
        <v>13</v>
      </c>
      <c r="C14" s="5" t="s">
        <v>201</v>
      </c>
      <c r="D14" s="6" t="s">
        <v>218</v>
      </c>
      <c r="E14" s="14">
        <v>0.25</v>
      </c>
      <c r="F14" s="4"/>
    </row>
    <row r="15" spans="1:6" x14ac:dyDescent="0.3">
      <c r="A15" s="13" t="s">
        <v>219</v>
      </c>
      <c r="B15" s="4" t="s">
        <v>13</v>
      </c>
      <c r="C15" s="5" t="s">
        <v>220</v>
      </c>
      <c r="D15" s="6" t="s">
        <v>221</v>
      </c>
      <c r="E15" s="14">
        <v>1</v>
      </c>
      <c r="F15" s="4"/>
    </row>
    <row r="16" spans="1:6" x14ac:dyDescent="0.3">
      <c r="A16" s="13" t="s">
        <v>222</v>
      </c>
      <c r="B16" s="4" t="s">
        <v>13</v>
      </c>
      <c r="C16" s="5" t="s">
        <v>220</v>
      </c>
      <c r="D16" s="6" t="s">
        <v>223</v>
      </c>
      <c r="E16" s="14">
        <v>0.75</v>
      </c>
      <c r="F16" s="4"/>
    </row>
    <row r="17" spans="1:6" x14ac:dyDescent="0.3">
      <c r="A17" s="13" t="s">
        <v>224</v>
      </c>
      <c r="B17" s="4" t="s">
        <v>13</v>
      </c>
      <c r="C17" s="5" t="s">
        <v>220</v>
      </c>
      <c r="D17" s="6" t="s">
        <v>225</v>
      </c>
      <c r="E17" s="14">
        <v>0.75</v>
      </c>
      <c r="F17" s="4"/>
    </row>
    <row r="18" spans="1:6" x14ac:dyDescent="0.3">
      <c r="A18" s="13" t="s">
        <v>226</v>
      </c>
      <c r="B18" s="4" t="s">
        <v>13</v>
      </c>
      <c r="C18" s="5" t="s">
        <v>220</v>
      </c>
      <c r="D18" s="6" t="s">
        <v>227</v>
      </c>
      <c r="E18" s="14">
        <v>1</v>
      </c>
      <c r="F18" s="4"/>
    </row>
    <row r="19" spans="1:6" x14ac:dyDescent="0.3">
      <c r="A19" s="13" t="s">
        <v>228</v>
      </c>
      <c r="B19" s="4" t="s">
        <v>13</v>
      </c>
      <c r="C19" s="5" t="s">
        <v>220</v>
      </c>
      <c r="D19" s="6" t="s">
        <v>229</v>
      </c>
      <c r="E19" s="14">
        <v>0.75</v>
      </c>
      <c r="F19" s="4"/>
    </row>
    <row r="20" spans="1:6" x14ac:dyDescent="0.3">
      <c r="A20" s="13" t="s">
        <v>230</v>
      </c>
      <c r="B20" s="4" t="s">
        <v>13</v>
      </c>
      <c r="C20" s="5" t="s">
        <v>220</v>
      </c>
      <c r="D20" s="6" t="s">
        <v>231</v>
      </c>
      <c r="E20" s="14">
        <v>1</v>
      </c>
      <c r="F20" s="4"/>
    </row>
    <row r="21" spans="1:6" x14ac:dyDescent="0.3">
      <c r="A21" s="13" t="s">
        <v>232</v>
      </c>
      <c r="B21" s="4" t="s">
        <v>9</v>
      </c>
      <c r="C21" s="5" t="s">
        <v>220</v>
      </c>
      <c r="D21" s="6" t="s">
        <v>233</v>
      </c>
      <c r="E21" s="14">
        <v>1</v>
      </c>
      <c r="F21" s="4"/>
    </row>
    <row r="22" spans="1:6" x14ac:dyDescent="0.3">
      <c r="A22" s="13" t="s">
        <v>234</v>
      </c>
      <c r="B22" s="4" t="s">
        <v>13</v>
      </c>
      <c r="C22" s="5" t="s">
        <v>235</v>
      </c>
      <c r="D22" s="6" t="s">
        <v>236</v>
      </c>
      <c r="E22" s="14">
        <v>0.75</v>
      </c>
      <c r="F22" s="4"/>
    </row>
    <row r="23" spans="1:6" x14ac:dyDescent="0.3">
      <c r="A23" s="13" t="s">
        <v>237</v>
      </c>
      <c r="B23" s="4" t="s">
        <v>13</v>
      </c>
      <c r="C23" s="5" t="s">
        <v>235</v>
      </c>
      <c r="D23" s="6" t="s">
        <v>238</v>
      </c>
      <c r="E23" s="14">
        <v>0.75</v>
      </c>
      <c r="F23" s="4"/>
    </row>
    <row r="24" spans="1:6" x14ac:dyDescent="0.3">
      <c r="A24" s="13" t="s">
        <v>239</v>
      </c>
      <c r="B24" s="4" t="s">
        <v>13</v>
      </c>
      <c r="C24" s="5" t="s">
        <v>235</v>
      </c>
      <c r="D24" s="6" t="s">
        <v>240</v>
      </c>
      <c r="E24" s="14">
        <v>0.75</v>
      </c>
      <c r="F24" s="4"/>
    </row>
    <row r="25" spans="1:6" x14ac:dyDescent="0.3">
      <c r="A25" s="13" t="s">
        <v>241</v>
      </c>
      <c r="B25" s="4" t="s">
        <v>13</v>
      </c>
      <c r="C25" s="5" t="s">
        <v>235</v>
      </c>
      <c r="D25" s="6" t="s">
        <v>242</v>
      </c>
      <c r="E25" s="14">
        <v>0.75</v>
      </c>
      <c r="F25" s="4"/>
    </row>
    <row r="26" spans="1:6" x14ac:dyDescent="0.3">
      <c r="A26" s="13" t="s">
        <v>243</v>
      </c>
      <c r="B26" s="4" t="s">
        <v>13</v>
      </c>
      <c r="C26" s="5" t="s">
        <v>235</v>
      </c>
      <c r="D26" s="6" t="s">
        <v>244</v>
      </c>
      <c r="E26" s="14">
        <v>0.5</v>
      </c>
      <c r="F26" s="4"/>
    </row>
    <row r="27" spans="1:6" x14ac:dyDescent="0.3">
      <c r="A27" s="13" t="s">
        <v>245</v>
      </c>
      <c r="B27" s="4" t="s">
        <v>13</v>
      </c>
      <c r="C27" s="5" t="s">
        <v>235</v>
      </c>
      <c r="D27" s="6" t="s">
        <v>246</v>
      </c>
      <c r="E27" s="14">
        <v>0.25</v>
      </c>
      <c r="F27" s="4"/>
    </row>
    <row r="28" spans="1:6" x14ac:dyDescent="0.3">
      <c r="A28" s="13" t="s">
        <v>247</v>
      </c>
      <c r="B28" s="4" t="s">
        <v>13</v>
      </c>
      <c r="C28" s="5" t="s">
        <v>235</v>
      </c>
      <c r="D28" s="6" t="s">
        <v>248</v>
      </c>
      <c r="E28" s="14">
        <v>0.5</v>
      </c>
      <c r="F28" s="4"/>
    </row>
    <row r="29" spans="1:6" x14ac:dyDescent="0.3">
      <c r="A29" s="13" t="s">
        <v>249</v>
      </c>
      <c r="B29" s="4" t="s">
        <v>13</v>
      </c>
      <c r="C29" s="5" t="s">
        <v>235</v>
      </c>
      <c r="D29" s="6" t="s">
        <v>250</v>
      </c>
      <c r="E29" s="14">
        <v>0.5</v>
      </c>
      <c r="F29" s="4"/>
    </row>
    <row r="30" spans="1:6" ht="15.6" customHeight="1" x14ac:dyDescent="0.3">
      <c r="A30" s="13" t="s">
        <v>251</v>
      </c>
      <c r="B30" s="4" t="s">
        <v>13</v>
      </c>
      <c r="C30" s="5" t="s">
        <v>235</v>
      </c>
      <c r="D30" s="6" t="s">
        <v>252</v>
      </c>
      <c r="E30" s="14">
        <v>0.75</v>
      </c>
      <c r="F30" s="4"/>
    </row>
    <row r="31" spans="1:6" x14ac:dyDescent="0.3">
      <c r="A31" s="13" t="s">
        <v>253</v>
      </c>
      <c r="B31" s="4" t="s">
        <v>9</v>
      </c>
      <c r="C31" s="5" t="s">
        <v>254</v>
      </c>
      <c r="D31" s="6" t="s">
        <v>255</v>
      </c>
      <c r="E31" s="14">
        <v>1</v>
      </c>
      <c r="F31" s="4"/>
    </row>
    <row r="32" spans="1:6" x14ac:dyDescent="0.3">
      <c r="A32" s="13" t="s">
        <v>256</v>
      </c>
      <c r="B32" s="4" t="s">
        <v>13</v>
      </c>
      <c r="C32" s="5" t="s">
        <v>257</v>
      </c>
      <c r="D32" s="6" t="s">
        <v>258</v>
      </c>
      <c r="E32" s="14">
        <v>0.5</v>
      </c>
      <c r="F32" s="4"/>
    </row>
    <row r="33" spans="1:6" x14ac:dyDescent="0.3">
      <c r="A33" s="13" t="s">
        <v>259</v>
      </c>
      <c r="B33" s="4" t="s">
        <v>13</v>
      </c>
      <c r="C33" s="5" t="s">
        <v>257</v>
      </c>
      <c r="D33" s="6" t="s">
        <v>260</v>
      </c>
      <c r="E33" s="14">
        <v>0.5</v>
      </c>
      <c r="F33" s="4"/>
    </row>
    <row r="34" spans="1:6" x14ac:dyDescent="0.3">
      <c r="A34" s="13" t="s">
        <v>261</v>
      </c>
      <c r="B34" s="4" t="s">
        <v>13</v>
      </c>
      <c r="C34" s="5" t="s">
        <v>257</v>
      </c>
      <c r="D34" s="6" t="s">
        <v>262</v>
      </c>
      <c r="E34" s="14">
        <v>0.5</v>
      </c>
      <c r="F34" s="4"/>
    </row>
    <row r="35" spans="1:6" x14ac:dyDescent="0.3">
      <c r="A35" s="13" t="s">
        <v>263</v>
      </c>
      <c r="B35" s="4" t="s">
        <v>13</v>
      </c>
      <c r="C35" s="5" t="s">
        <v>257</v>
      </c>
      <c r="D35" s="6" t="s">
        <v>264</v>
      </c>
      <c r="E35" s="14">
        <v>0.75</v>
      </c>
      <c r="F35" s="4"/>
    </row>
    <row r="36" spans="1:6" x14ac:dyDescent="0.3">
      <c r="A36" s="13" t="s">
        <v>265</v>
      </c>
      <c r="B36" s="4" t="s">
        <v>9</v>
      </c>
      <c r="C36" s="5" t="s">
        <v>266</v>
      </c>
      <c r="D36" s="6" t="s">
        <v>267</v>
      </c>
      <c r="E36" s="14">
        <v>1</v>
      </c>
      <c r="F36" s="4"/>
    </row>
    <row r="37" spans="1:6" ht="16.8" customHeight="1" x14ac:dyDescent="0.3">
      <c r="A37" s="13" t="s">
        <v>268</v>
      </c>
      <c r="B37" s="4" t="s">
        <v>9</v>
      </c>
      <c r="C37" s="5" t="s">
        <v>269</v>
      </c>
      <c r="D37" s="6" t="s">
        <v>270</v>
      </c>
      <c r="E37" s="14">
        <v>1</v>
      </c>
      <c r="F37" s="4"/>
    </row>
    <row r="38" spans="1:6" x14ac:dyDescent="0.3">
      <c r="A38" s="13" t="s">
        <v>271</v>
      </c>
      <c r="B38" s="4" t="s">
        <v>9</v>
      </c>
      <c r="C38" s="5" t="s">
        <v>269</v>
      </c>
      <c r="D38" s="6" t="s">
        <v>272</v>
      </c>
      <c r="E38" s="14">
        <v>0.5</v>
      </c>
      <c r="F38" s="4"/>
    </row>
    <row r="39" spans="1:6" x14ac:dyDescent="0.3">
      <c r="A39" s="13" t="s">
        <v>273</v>
      </c>
      <c r="B39" s="4" t="s">
        <v>9</v>
      </c>
      <c r="C39" s="5" t="s">
        <v>274</v>
      </c>
      <c r="D39" s="6" t="s">
        <v>275</v>
      </c>
      <c r="E39" s="14">
        <v>1</v>
      </c>
      <c r="F39" s="4"/>
    </row>
    <row r="40" spans="1:6" x14ac:dyDescent="0.3">
      <c r="D40" s="8" t="s">
        <v>61</v>
      </c>
      <c r="E40" s="2">
        <f>SUM(E5:E39)</f>
        <v>26.75</v>
      </c>
    </row>
    <row r="41" spans="1:6" x14ac:dyDescent="0.3">
      <c r="D41" s="9" t="s">
        <v>63</v>
      </c>
      <c r="E41" s="10">
        <f>SUMPRODUCT((B5:B39="Ignacio")*(E5:E39))</f>
        <v>21.25</v>
      </c>
    </row>
    <row r="42" spans="1:6" x14ac:dyDescent="0.3">
      <c r="D42" s="9" t="s">
        <v>65</v>
      </c>
      <c r="E42" s="10">
        <f>SUMPRODUCT((B5:B39="Sebastian")*(E5:E39))</f>
        <v>5.5</v>
      </c>
    </row>
    <row r="45" spans="1:6" ht="15.6" x14ac:dyDescent="0.3">
      <c r="A45" s="3" t="s">
        <v>66</v>
      </c>
    </row>
    <row r="46" spans="1:6" x14ac:dyDescent="0.3">
      <c r="A46" s="1" t="s">
        <v>53</v>
      </c>
      <c r="B46" s="1" t="s">
        <v>54</v>
      </c>
      <c r="C46" s="1" t="s">
        <v>6</v>
      </c>
      <c r="D46" s="1" t="s">
        <v>7</v>
      </c>
    </row>
    <row r="47" spans="1:6" x14ac:dyDescent="0.3">
      <c r="A47" s="4" t="s">
        <v>57</v>
      </c>
      <c r="B47" s="11"/>
      <c r="C47" s="7"/>
      <c r="D47" s="4"/>
    </row>
    <row r="48" spans="1:6" x14ac:dyDescent="0.3">
      <c r="A48" s="4" t="s">
        <v>60</v>
      </c>
      <c r="B48" s="11"/>
      <c r="C48" s="7"/>
      <c r="D48" s="4"/>
    </row>
    <row r="49" spans="1:5" x14ac:dyDescent="0.3">
      <c r="A49" s="4" t="s">
        <v>62</v>
      </c>
      <c r="B49" s="11"/>
      <c r="C49" s="7"/>
      <c r="D49" s="4"/>
    </row>
    <row r="50" spans="1:5" x14ac:dyDescent="0.3">
      <c r="B50" s="8" t="s">
        <v>64</v>
      </c>
      <c r="C50" s="2">
        <f>SUM(C47:C49)</f>
        <v>0</v>
      </c>
    </row>
    <row r="52" spans="1:5" ht="16.8" x14ac:dyDescent="0.3">
      <c r="A52" s="16" t="s">
        <v>276</v>
      </c>
      <c r="B52" s="17"/>
      <c r="C52" s="17"/>
      <c r="D52" s="18"/>
      <c r="E52" s="12">
        <f>E40+C50</f>
        <v>26.75</v>
      </c>
    </row>
  </sheetData>
  <mergeCells count="2">
    <mergeCell ref="A52:D52"/>
    <mergeCell ref="A1:F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I19" sqref="I19"/>
    </sheetView>
  </sheetViews>
  <sheetFormatPr baseColWidth="10" defaultRowHeight="14.4" x14ac:dyDescent="0.3"/>
  <sheetData>
    <row r="1" spans="1:3" x14ac:dyDescent="0.3">
      <c r="A1" t="s">
        <v>277</v>
      </c>
      <c r="B1" t="s">
        <v>278</v>
      </c>
      <c r="C1" t="s">
        <v>279</v>
      </c>
    </row>
    <row r="2" spans="1:3" x14ac:dyDescent="0.3">
      <c r="A2" t="s">
        <v>280</v>
      </c>
      <c r="B2" t="s">
        <v>281</v>
      </c>
      <c r="C2" t="s">
        <v>282</v>
      </c>
    </row>
    <row r="3" spans="1:3" ht="15.6" customHeight="1" x14ac:dyDescent="0.3">
      <c r="A3" t="s">
        <v>283</v>
      </c>
      <c r="B3" t="s">
        <v>284</v>
      </c>
      <c r="C3" t="s">
        <v>285</v>
      </c>
    </row>
    <row r="4" spans="1:3" x14ac:dyDescent="0.3">
      <c r="A4" t="s">
        <v>286</v>
      </c>
      <c r="B4" t="s">
        <v>287</v>
      </c>
      <c r="C4" t="s">
        <v>288</v>
      </c>
    </row>
    <row r="5" spans="1:3" x14ac:dyDescent="0.3">
      <c r="A5" t="s">
        <v>289</v>
      </c>
      <c r="B5" t="s">
        <v>290</v>
      </c>
      <c r="C5" t="s">
        <v>291</v>
      </c>
    </row>
    <row r="6" spans="1:3" x14ac:dyDescent="0.3">
      <c r="A6" t="s">
        <v>292</v>
      </c>
      <c r="B6" t="s">
        <v>293</v>
      </c>
      <c r="C6" t="s">
        <v>294</v>
      </c>
    </row>
    <row r="7" spans="1:3" x14ac:dyDescent="0.3">
      <c r="A7" t="s">
        <v>295</v>
      </c>
      <c r="B7" t="s">
        <v>296</v>
      </c>
      <c r="C7" t="s">
        <v>297</v>
      </c>
    </row>
    <row r="8" spans="1:3" x14ac:dyDescent="0.3">
      <c r="A8" t="s">
        <v>298</v>
      </c>
      <c r="B8" t="s">
        <v>299</v>
      </c>
      <c r="C8" t="s">
        <v>300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Pre</vt:lpstr>
      <vt:lpstr>Iteracion 1</vt:lpstr>
      <vt:lpstr>Iteracion 2</vt:lpstr>
      <vt:lpstr>Iteracion 3</vt:lpstr>
      <vt:lpstr>Iteracion 4</vt:lpstr>
      <vt:lpstr>Iteracion 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Acuna Rossi</cp:lastModifiedBy>
  <dcterms:created xsi:type="dcterms:W3CDTF">2026-06-18T13:28:37Z</dcterms:created>
  <dcterms:modified xsi:type="dcterms:W3CDTF">2026-07-06T21:54:10Z</dcterms:modified>
</cp:coreProperties>
</file>